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CEO\LIS-1826\"/>
    </mc:Choice>
  </mc:AlternateContent>
  <bookViews>
    <workbookView xWindow="0" yWindow="0" windowWidth="19200" windowHeight="12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C2" i="1"/>
  <c r="D2" i="1" s="1"/>
  <c r="B7" i="1" l="1"/>
  <c r="A9" i="1" l="1"/>
  <c r="B9" i="1" s="1"/>
  <c r="D9" i="1" s="1"/>
  <c r="D12" i="1" s="1"/>
</calcChain>
</file>

<file path=xl/sharedStrings.xml><?xml version="1.0" encoding="utf-8"?>
<sst xmlns="http://schemas.openxmlformats.org/spreadsheetml/2006/main" count="13" uniqueCount="13">
  <si>
    <t>DOB</t>
    <phoneticPr fontId="1" type="noConversion"/>
  </si>
  <si>
    <t>Date For Calculation</t>
    <phoneticPr fontId="1" type="noConversion"/>
  </si>
  <si>
    <t>Age</t>
    <phoneticPr fontId="1" type="noConversion"/>
  </si>
  <si>
    <t>Age Unit</t>
    <phoneticPr fontId="1" type="noConversion"/>
  </si>
  <si>
    <t>Displayed Age Value</t>
    <phoneticPr fontId="1" type="noConversion"/>
  </si>
  <si>
    <t>Adjusted Date</t>
    <phoneticPr fontId="1" type="noConversion"/>
  </si>
  <si>
    <t>Calculated Age Value</t>
    <phoneticPr fontId="1" type="noConversion"/>
  </si>
  <si>
    <t>Calculated Age Value
&lt;=
Displayed Age Value?</t>
    <phoneticPr fontId="1" type="noConversion"/>
  </si>
  <si>
    <t>Day Diff</t>
    <phoneticPr fontId="1" type="noConversion"/>
  </si>
  <si>
    <t>Day Diff from DOB</t>
    <phoneticPr fontId="1" type="noConversion"/>
  </si>
  <si>
    <t>Adjusted Age Value</t>
    <phoneticPr fontId="1" type="noConversion"/>
  </si>
  <si>
    <t>Final Age Value</t>
    <phoneticPr fontId="1" type="noConversion"/>
  </si>
  <si>
    <t>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</si>
</sst>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dd/mm/yyyy\ hh:mm:ss"/>
  </numFmts>
  <fonts count="4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E7" sqref="E7"/>
    </sheetView>
  </sheetViews>
  <sheetFormatPr defaultRowHeight="15" x14ac:dyDescent="0.25"/>
  <cols>
    <col min="1" max="1" width="19.85546875" style="1" customWidth="1"/>
    <col min="2" max="2" width="20.140625" style="1" bestFit="1" customWidth="1"/>
    <col min="3" max="3" width="9.140625" style="1"/>
    <col min="4" max="4" width="20.1406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6</v>
      </c>
    </row>
    <row r="2" spans="1:4" s="2" customFormat="1" x14ac:dyDescent="0.25">
      <c r="A2" s="2">
        <v>43620</v>
      </c>
      <c r="B2" s="2">
        <v>43956.958333333336</v>
      </c>
      <c r="C2" s="3">
        <f>FLOOR(B2-A2,1)</f>
        <v>336</v>
      </c>
      <c r="D2" s="3">
        <f>IF(C2=0,1,IF(AND(DAY(A2)=DAY(B2),MONTH(A2)=MONTH(B2)),D5,C2/365.25))</f>
        <v>0.91991786447638602</v>
      </c>
    </row>
    <row r="4" spans="1:4" x14ac:dyDescent="0.25">
      <c r="A4" s="1" t="s">
        <v>2</v>
      </c>
      <c r="B4" s="1" t="s">
        <v>3</v>
      </c>
      <c r="D4" s="1" t="s">
        <v>4</v>
      </c>
    </row>
    <row r="5" spans="1:4" s="3" customFormat="1" x14ac:dyDescent="0.25">
      <c r="A5" s="3">
        <v>11</v>
      </c>
      <c r="B5" s="3" t="s">
        <v>12</v>
      </c>
      <c r="D5" s="3">
        <f>IF(B5="M",A5*31/365.25,IF(B5="Y",A5,""))</f>
        <v>0.93360711841204658</v>
      </c>
    </row>
    <row r="7" spans="1:4" ht="45" x14ac:dyDescent="0.25">
      <c r="A7" s="4" t="s">
        <v>7</v>
      </c>
      <c r="B7" s="1" t="b">
        <f>IF(AND(D2&lt;=D5,OR(B5="M",B5="Y")),TRUE,FALSE)</f>
        <v>1</v>
      </c>
    </row>
    <row r="8" spans="1:4" x14ac:dyDescent="0.25">
      <c r="A8" s="1" t="s">
        <v>5</v>
      </c>
      <c r="B8" s="1" t="s">
        <v>9</v>
      </c>
      <c r="D8" s="1" t="s">
        <v>10</v>
      </c>
    </row>
    <row r="9" spans="1:4" x14ac:dyDescent="0.25">
      <c r="A9" s="2">
        <f>IF(B7,IF(B5="M",EDATE(B2,-A5),IF(B5="Y",DATE(YEAR(B2)-A5,MONTH(B2),DAY(B2)))),"")</f>
        <v>43621</v>
      </c>
      <c r="B9" s="1">
        <f>IF(B7,FLOOR(A9-A2,1),"")</f>
        <v>1</v>
      </c>
      <c r="D9" s="1">
        <f>IF(B7,D5+B9*0.0001,"")</f>
        <v>0.93370711841204657</v>
      </c>
    </row>
    <row r="11" spans="1:4" x14ac:dyDescent="0.25">
      <c r="D11" s="1" t="s">
        <v>11</v>
      </c>
    </row>
    <row r="12" spans="1:4" x14ac:dyDescent="0.25">
      <c r="D12" s="5">
        <f>IF(IF(B7,D9,D2)&lt;10,ROUND(IF(B7,D9,D2),4),IF(IF(B7,D9,D2)&lt;100,ROUND(IF(B7,D9,D2),4),ROUND(IF(B7,D9,D2),3)))</f>
        <v>0.93369999999999997</v>
      </c>
    </row>
  </sheetData>
  <phoneticPr fontId="1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</dc:creator>
  <cp:lastModifiedBy>LIS</cp:lastModifiedBy>
  <dcterms:created xsi:type="dcterms:W3CDTF">2020-06-18T01:15:47Z</dcterms:created>
  <dcterms:modified xsi:type="dcterms:W3CDTF">2020-06-18T02:25:07Z</dcterms:modified>
</cp:coreProperties>
</file>